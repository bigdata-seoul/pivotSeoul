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9" i="1" l="1"/>
  <c r="E9" i="1"/>
  <c r="F9" i="1"/>
  <c r="C9" i="1"/>
</calcChain>
</file>

<file path=xl/sharedStrings.xml><?xml version="1.0" encoding="utf-8"?>
<sst xmlns="http://schemas.openxmlformats.org/spreadsheetml/2006/main" count="21" uniqueCount="21">
  <si>
    <t>유형</t>
  </si>
  <si>
    <t>단지명</t>
  </si>
  <si>
    <t>계</t>
  </si>
  <si>
    <t>공급예정물량 (전용면적)</t>
  </si>
  <si>
    <t>준공
(예정)월</t>
  </si>
  <si>
    <t>공급
(예정)월</t>
  </si>
  <si>
    <t>비고</t>
  </si>
  <si>
    <t>소재지</t>
  </si>
  <si>
    <t>※ 사업계획변경에 따라 공급량의 증·감이나 공급시기 조정이 있을 수 있으며, 위 물량은 철거민 특별공급 물량이 확정되어 있지 않아 신청현황에 따라 변동될 수 있습니다.
※ 상기 공급계획은 신규공급 물량입니다.</t>
    <phoneticPr fontId="9" type="noConversion"/>
  </si>
  <si>
    <t>국민임대주택</t>
    <phoneticPr fontId="9" type="noConversion"/>
  </si>
  <si>
    <t>고덕강일4단지</t>
    <phoneticPr fontId="9" type="noConversion"/>
  </si>
  <si>
    <t>고덕강일6단지</t>
    <phoneticPr fontId="9" type="noConversion"/>
  </si>
  <si>
    <t>고덕강일7단지</t>
    <phoneticPr fontId="9" type="noConversion"/>
  </si>
  <si>
    <t>강동구            고덕동, 강일동</t>
    <phoneticPr fontId="9" type="noConversion"/>
  </si>
  <si>
    <t>2019년 5월 현재</t>
    <phoneticPr fontId="9" type="noConversion"/>
  </si>
  <si>
    <t>12월 공급소계</t>
    <phoneticPr fontId="9" type="noConversion"/>
  </si>
  <si>
    <t>29㎡</t>
    <phoneticPr fontId="9" type="noConversion"/>
  </si>
  <si>
    <t>39㎡</t>
    <phoneticPr fontId="9" type="noConversion"/>
  </si>
  <si>
    <t>49㎡</t>
    <phoneticPr fontId="9" type="noConversion"/>
  </si>
  <si>
    <t>일부세대 철거민 특별공급예정</t>
    <phoneticPr fontId="9" type="noConversion"/>
  </si>
  <si>
    <t>2019년 국민임대주택 공급계획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</si>
</sst>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yyyy/mm"/>
  </numFmts>
  <fonts count="1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4" fillId="0" borderId="1" xfId="1" applyFont="1" applyBorder="1" applyAlignment="1">
      <alignment horizontal="center" vertical="center" wrapText="1" shrinkToFit="1"/>
    </xf>
    <xf numFmtId="176" fontId="3" fillId="0" borderId="1" xfId="2" applyNumberFormat="1" applyFont="1" applyBorder="1" applyAlignment="1">
      <alignment horizontal="right" vertical="center" wrapText="1"/>
    </xf>
    <xf numFmtId="0" fontId="6" fillId="0" borderId="1" xfId="1" applyFont="1" applyBorder="1" applyAlignment="1">
      <alignment horizontal="center" vertical="center" wrapText="1" shrinkToFit="1"/>
    </xf>
    <xf numFmtId="0" fontId="3" fillId="0" borderId="1" xfId="1" applyFont="1" applyBorder="1" applyAlignment="1">
      <alignment horizontal="center" vertical="center" wrapText="1" shrinkToFit="1"/>
    </xf>
    <xf numFmtId="176" fontId="3" fillId="0" borderId="1" xfId="2" applyNumberFormat="1" applyFont="1" applyFill="1" applyBorder="1" applyAlignment="1">
      <alignment horizontal="right" vertical="center" wrapText="1" shrinkToFit="1"/>
    </xf>
    <xf numFmtId="176" fontId="3" fillId="0" borderId="1" xfId="1" applyNumberFormat="1" applyFont="1" applyFill="1" applyBorder="1" applyAlignment="1">
      <alignment horizontal="right" vertical="center" wrapText="1"/>
    </xf>
    <xf numFmtId="0" fontId="5" fillId="3" borderId="1" xfId="1" applyFont="1" applyFill="1" applyBorder="1" applyAlignment="1">
      <alignment horizontal="center" vertical="center" wrapText="1" shrinkToFit="1"/>
    </xf>
    <xf numFmtId="176" fontId="5" fillId="3" borderId="1" xfId="2" applyNumberFormat="1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 wrapText="1" shrinkToFit="1"/>
    </xf>
    <xf numFmtId="177" fontId="3" fillId="3" borderId="1" xfId="1" applyNumberFormat="1" applyFont="1" applyFill="1" applyBorder="1" applyAlignment="1">
      <alignment horizontal="center" vertical="center" wrapText="1" shrinkToFit="1"/>
    </xf>
    <xf numFmtId="177" fontId="6" fillId="0" borderId="5" xfId="1" applyNumberFormat="1" applyFont="1" applyBorder="1" applyAlignment="1">
      <alignment horizontal="center" vertical="center" wrapText="1" shrinkToFit="1"/>
    </xf>
    <xf numFmtId="177" fontId="6" fillId="0" borderId="6" xfId="1" applyNumberFormat="1" applyFont="1" applyBorder="1" applyAlignment="1">
      <alignment horizontal="center" vertical="center" wrapText="1" shrinkToFit="1"/>
    </xf>
    <xf numFmtId="0" fontId="7" fillId="0" borderId="0" xfId="1" applyFont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 wrapText="1" shrinkToFit="1"/>
    </xf>
    <xf numFmtId="0" fontId="2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right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shrinkToFit="1"/>
    </xf>
  </cellXfs>
  <cellStyles count="5">
    <cellStyle name="쉼표 [0] 2" xfId="3"/>
    <cellStyle name="쉼표 [0] 3" xfId="2"/>
    <cellStyle name="표준" xfId="0" builtinId="0"/>
    <cellStyle name="표준 2" xfId="4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H16" sqref="H16"/>
    </sheetView>
  </sheetViews>
  <sheetFormatPr defaultRowHeight="16.5"/>
  <cols>
    <col min="2" max="2" width="20.5" customWidth="1"/>
    <col min="7" max="7" width="14" customWidth="1"/>
    <col min="10" max="10" width="27.75" customWidth="1"/>
  </cols>
  <sheetData>
    <row r="1" spans="1:10" ht="31.5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1"/>
      <c r="B2" s="1"/>
      <c r="C2" s="2"/>
      <c r="D2" s="2"/>
      <c r="E2" s="2"/>
      <c r="F2" s="2"/>
      <c r="G2" s="1"/>
      <c r="H2" s="1"/>
      <c r="I2" s="22" t="s">
        <v>14</v>
      </c>
      <c r="J2" s="22"/>
    </row>
    <row r="3" spans="1:10">
      <c r="A3" s="16" t="s">
        <v>0</v>
      </c>
      <c r="B3" s="16" t="s">
        <v>1</v>
      </c>
      <c r="C3" s="16" t="s">
        <v>2</v>
      </c>
      <c r="D3" s="23" t="s">
        <v>3</v>
      </c>
      <c r="E3" s="23"/>
      <c r="F3" s="23"/>
      <c r="G3" s="24"/>
      <c r="H3" s="25" t="s">
        <v>4</v>
      </c>
      <c r="I3" s="25" t="s">
        <v>5</v>
      </c>
      <c r="J3" s="26" t="s">
        <v>6</v>
      </c>
    </row>
    <row r="4" spans="1:10">
      <c r="A4" s="16"/>
      <c r="B4" s="16"/>
      <c r="C4" s="16"/>
      <c r="D4" s="16" t="s">
        <v>16</v>
      </c>
      <c r="E4" s="16" t="s">
        <v>17</v>
      </c>
      <c r="F4" s="16" t="s">
        <v>18</v>
      </c>
      <c r="G4" s="16" t="s">
        <v>7</v>
      </c>
      <c r="H4" s="26"/>
      <c r="I4" s="26"/>
      <c r="J4" s="26"/>
    </row>
    <row r="5" spans="1:10">
      <c r="A5" s="16"/>
      <c r="B5" s="16"/>
      <c r="C5" s="16"/>
      <c r="D5" s="16"/>
      <c r="E5" s="16"/>
      <c r="F5" s="16"/>
      <c r="G5" s="16"/>
      <c r="H5" s="26"/>
      <c r="I5" s="26"/>
      <c r="J5" s="26"/>
    </row>
    <row r="6" spans="1:10" ht="21" customHeight="1">
      <c r="A6" s="17" t="s">
        <v>9</v>
      </c>
      <c r="B6" s="3" t="s">
        <v>10</v>
      </c>
      <c r="C6" s="4">
        <v>396</v>
      </c>
      <c r="D6" s="4">
        <v>166</v>
      </c>
      <c r="E6" s="4">
        <v>230</v>
      </c>
      <c r="F6" s="4"/>
      <c r="G6" s="18" t="s">
        <v>13</v>
      </c>
      <c r="H6" s="5">
        <v>2020.6</v>
      </c>
      <c r="I6" s="18">
        <v>2019.12</v>
      </c>
      <c r="J6" s="13" t="s">
        <v>19</v>
      </c>
    </row>
    <row r="7" spans="1:10" ht="21" customHeight="1">
      <c r="A7" s="17"/>
      <c r="B7" s="6" t="s">
        <v>11</v>
      </c>
      <c r="C7" s="4">
        <v>689</v>
      </c>
      <c r="D7" s="7">
        <v>163</v>
      </c>
      <c r="E7" s="7">
        <v>183</v>
      </c>
      <c r="F7" s="7">
        <v>343</v>
      </c>
      <c r="G7" s="19"/>
      <c r="H7" s="5">
        <v>2020.4</v>
      </c>
      <c r="I7" s="19"/>
      <c r="J7" s="13"/>
    </row>
    <row r="8" spans="1:10" ht="21" customHeight="1">
      <c r="A8" s="17"/>
      <c r="B8" s="6" t="s">
        <v>12</v>
      </c>
      <c r="C8" s="4">
        <v>619</v>
      </c>
      <c r="D8" s="8">
        <v>142</v>
      </c>
      <c r="E8" s="8">
        <v>206</v>
      </c>
      <c r="F8" s="8">
        <v>271</v>
      </c>
      <c r="G8" s="20"/>
      <c r="H8" s="5">
        <v>2020.5</v>
      </c>
      <c r="I8" s="20"/>
      <c r="J8" s="14"/>
    </row>
    <row r="9" spans="1:10" ht="21" customHeight="1">
      <c r="A9" s="17"/>
      <c r="B9" s="9" t="s">
        <v>15</v>
      </c>
      <c r="C9" s="10">
        <f>SUM(C6:C8)</f>
        <v>1704</v>
      </c>
      <c r="D9" s="10">
        <f t="shared" ref="D9:F9" si="0">SUM(D6:D8)</f>
        <v>471</v>
      </c>
      <c r="E9" s="10">
        <f t="shared" si="0"/>
        <v>619</v>
      </c>
      <c r="F9" s="10">
        <f t="shared" si="0"/>
        <v>614</v>
      </c>
      <c r="G9" s="11"/>
      <c r="H9" s="11"/>
      <c r="I9" s="12"/>
      <c r="J9" s="12"/>
    </row>
    <row r="10" spans="1:10">
      <c r="A10" s="1"/>
      <c r="B10" s="1"/>
      <c r="C10" s="2"/>
      <c r="D10" s="2"/>
      <c r="E10" s="2"/>
      <c r="F10" s="2"/>
      <c r="G10" s="1"/>
      <c r="H10" s="1"/>
      <c r="I10" s="1"/>
      <c r="J10" s="1"/>
    </row>
    <row r="11" spans="1:10" ht="17.25" customHeight="1">
      <c r="A11" s="15" t="s">
        <v>8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>
      <c r="A14" s="15"/>
      <c r="B14" s="15"/>
      <c r="C14" s="15"/>
      <c r="D14" s="15"/>
      <c r="E14" s="15"/>
      <c r="F14" s="15"/>
      <c r="G14" s="15"/>
      <c r="H14" s="15"/>
      <c r="I14" s="15"/>
      <c r="J14" s="15"/>
    </row>
  </sheetData>
  <mergeCells count="18">
    <mergeCell ref="A1:J1"/>
    <mergeCell ref="I2:J2"/>
    <mergeCell ref="A3:A5"/>
    <mergeCell ref="B3:B5"/>
    <mergeCell ref="C3:C5"/>
    <mergeCell ref="D3:G3"/>
    <mergeCell ref="H3:H5"/>
    <mergeCell ref="I3:I5"/>
    <mergeCell ref="J3:J5"/>
    <mergeCell ref="D4:D5"/>
    <mergeCell ref="I6:I8"/>
    <mergeCell ref="J6:J8"/>
    <mergeCell ref="E4:E5"/>
    <mergeCell ref="F4:F5"/>
    <mergeCell ref="G4:G5"/>
    <mergeCell ref="A6:A9"/>
    <mergeCell ref="A11:J14"/>
    <mergeCell ref="G6:G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2019-05-08T01:44:22Z</dcterms:created>
  <dcterms:modified xsi:type="dcterms:W3CDTF">2019-05-08T01:51:43Z</dcterms:modified>
</cp:coreProperties>
</file>